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b272b4629e76c1/Documentos/MicrocontroladoresTodo/CKP_uC/"/>
    </mc:Choice>
  </mc:AlternateContent>
  <xr:revisionPtr revIDLastSave="543" documentId="8_{7570801A-491D-4709-BB50-5E7F16E321CE}" xr6:coauthVersionLast="47" xr6:coauthVersionMax="47" xr10:uidLastSave="{6CBFA1C1-03C2-4099-8BB6-5923F8F85870}"/>
  <bookViews>
    <workbookView xWindow="-120" yWindow="-120" windowWidth="29040" windowHeight="15720" xr2:uid="{3C39CF5D-B8F1-406A-A309-AAA1F6BC8F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8" i="1" l="1"/>
  <c r="I36" i="1" a="1"/>
  <c r="I36" i="1" s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8" i="1"/>
  <c r="L16" i="1"/>
  <c r="L31" i="1"/>
  <c r="J31" i="1"/>
  <c r="J30" i="1"/>
  <c r="L30" i="1" s="1"/>
  <c r="J29" i="1"/>
  <c r="L29" i="1" s="1"/>
  <c r="J28" i="1"/>
  <c r="L28" i="1" s="1"/>
  <c r="J27" i="1"/>
  <c r="L27" i="1" s="1"/>
  <c r="J26" i="1"/>
  <c r="L26" i="1" s="1"/>
  <c r="J25" i="1"/>
  <c r="L25" i="1" s="1"/>
  <c r="J24" i="1"/>
  <c r="L24" i="1" s="1"/>
  <c r="J23" i="1"/>
  <c r="L23" i="1" s="1"/>
  <c r="J22" i="1"/>
  <c r="L22" i="1" s="1"/>
  <c r="J21" i="1"/>
  <c r="L21" i="1" s="1"/>
  <c r="J20" i="1"/>
  <c r="L20" i="1" s="1"/>
  <c r="J19" i="1"/>
  <c r="L19" i="1" s="1"/>
  <c r="J18" i="1"/>
  <c r="L18" i="1" s="1"/>
  <c r="J17" i="1"/>
  <c r="L17" i="1" s="1"/>
  <c r="J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9" i="1"/>
  <c r="L9" i="1" s="1"/>
  <c r="J8" i="1"/>
  <c r="L8" i="1" s="1"/>
  <c r="N8" i="1" l="1" a="1"/>
  <c r="N8" i="1" l="1"/>
  <c r="R9" i="1"/>
  <c r="R25" i="1"/>
  <c r="R18" i="1"/>
  <c r="R10" i="1"/>
  <c r="R26" i="1"/>
  <c r="R8" i="1"/>
  <c r="R20" i="1"/>
  <c r="R11" i="1"/>
  <c r="R27" i="1"/>
  <c r="R12" i="1"/>
  <c r="R28" i="1"/>
  <c r="R29" i="1"/>
  <c r="R19" i="1"/>
  <c r="R24" i="1"/>
  <c r="R13" i="1"/>
  <c r="R14" i="1"/>
  <c r="R30" i="1"/>
  <c r="R21" i="1"/>
  <c r="R23" i="1"/>
  <c r="R15" i="1"/>
  <c r="R31" i="1"/>
  <c r="R16" i="1"/>
  <c r="R22" i="1"/>
  <c r="R17" i="1"/>
  <c r="U8" i="1" l="1"/>
  <c r="V8" i="1" s="1"/>
  <c r="T19" i="1"/>
  <c r="U19" i="1" s="1"/>
  <c r="V19" i="1" s="1"/>
  <c r="S19" i="1"/>
  <c r="T13" i="1"/>
  <c r="U13" i="1" s="1"/>
  <c r="V13" i="1" s="1"/>
  <c r="S13" i="1"/>
  <c r="T28" i="1"/>
  <c r="U28" i="1" s="1"/>
  <c r="V28" i="1" s="1"/>
  <c r="S28" i="1"/>
  <c r="T16" i="1"/>
  <c r="U16" i="1" s="1"/>
  <c r="V16" i="1" s="1"/>
  <c r="S16" i="1"/>
  <c r="T24" i="1"/>
  <c r="U24" i="1" s="1"/>
  <c r="V24" i="1" s="1"/>
  <c r="S24" i="1"/>
  <c r="T29" i="1"/>
  <c r="U29" i="1" s="1"/>
  <c r="V29" i="1" s="1"/>
  <c r="S29" i="1"/>
  <c r="T12" i="1"/>
  <c r="U12" i="1" s="1"/>
  <c r="V12" i="1" s="1"/>
  <c r="S12" i="1"/>
  <c r="T27" i="1"/>
  <c r="U27" i="1" s="1"/>
  <c r="V27" i="1" s="1"/>
  <c r="S27" i="1"/>
  <c r="T17" i="1"/>
  <c r="U17" i="1" s="1"/>
  <c r="V17" i="1" s="1"/>
  <c r="S17" i="1"/>
  <c r="T11" i="1"/>
  <c r="U11" i="1" s="1"/>
  <c r="V11" i="1" s="1"/>
  <c r="S11" i="1"/>
  <c r="T22" i="1"/>
  <c r="U22" i="1" s="1"/>
  <c r="V22" i="1" s="1"/>
  <c r="S22" i="1"/>
  <c r="T20" i="1"/>
  <c r="U20" i="1" s="1"/>
  <c r="V20" i="1" s="1"/>
  <c r="S20" i="1"/>
  <c r="S8" i="1"/>
  <c r="T31" i="1"/>
  <c r="U31" i="1" s="1"/>
  <c r="V31" i="1" s="1"/>
  <c r="S31" i="1"/>
  <c r="T26" i="1"/>
  <c r="U26" i="1" s="1"/>
  <c r="V26" i="1" s="1"/>
  <c r="S26" i="1"/>
  <c r="T15" i="1"/>
  <c r="U15" i="1" s="1"/>
  <c r="V15" i="1" s="1"/>
  <c r="S15" i="1"/>
  <c r="T10" i="1"/>
  <c r="U10" i="1" s="1"/>
  <c r="V10" i="1" s="1"/>
  <c r="S10" i="1"/>
  <c r="T23" i="1"/>
  <c r="U23" i="1" s="1"/>
  <c r="V23" i="1" s="1"/>
  <c r="S23" i="1"/>
  <c r="T18" i="1"/>
  <c r="U18" i="1" s="1"/>
  <c r="V18" i="1" s="1"/>
  <c r="S18" i="1"/>
  <c r="T21" i="1"/>
  <c r="U21" i="1" s="1"/>
  <c r="V21" i="1" s="1"/>
  <c r="S21" i="1"/>
  <c r="T25" i="1"/>
  <c r="U25" i="1" s="1"/>
  <c r="V25" i="1" s="1"/>
  <c r="S25" i="1"/>
  <c r="T30" i="1"/>
  <c r="U30" i="1" s="1"/>
  <c r="V30" i="1" s="1"/>
  <c r="S30" i="1"/>
  <c r="T9" i="1"/>
  <c r="U9" i="1" s="1"/>
  <c r="V9" i="1" s="1"/>
  <c r="S9" i="1"/>
  <c r="T14" i="1"/>
  <c r="U14" i="1" s="1"/>
  <c r="V14" i="1" s="1"/>
  <c r="S1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<sst xmlns="http://schemas.openxmlformats.org/spreadsheetml/2006/main" count="24" uniqueCount="18">
  <si>
    <t>Datos</t>
  </si>
  <si>
    <t>N° de dientes</t>
  </si>
  <si>
    <t>Dientes faltantes</t>
  </si>
  <si>
    <t>Frecuencia oscilador MHZ</t>
  </si>
  <si>
    <t>Prescaler value</t>
  </si>
  <si>
    <t>Machine Cycle (FOCS/4) [t]</t>
  </si>
  <si>
    <t>TICK TIMER [s]</t>
  </si>
  <si>
    <t>Frecuencia oscilador [Mhz]</t>
  </si>
  <si>
    <t>Una revolución la da en el equivalente a 36 FLANCOS</t>
  </si>
  <si>
    <t>t/rev [t]</t>
  </si>
  <si>
    <t>¿Cuántas REVOLUCIONES da en 1s? [rev/s]</t>
  </si>
  <si>
    <t>Regla de 3
x rev/s = [(1rev)/(36 flancos)]</t>
  </si>
  <si>
    <t>RPM Máximas</t>
  </si>
  <si>
    <t>Número de ciclos máquina entre flanco y flanco</t>
  </si>
  <si>
    <r>
      <t xml:space="preserve">Duración mínima de tiempo límite entre flanco y flanco [s] </t>
    </r>
    <r>
      <rPr>
        <b/>
        <sz val="11"/>
        <color theme="1"/>
        <rFont val="Aptos Narrow"/>
        <family val="2"/>
        <scheme val="minor"/>
      </rPr>
      <t>Número de tiks miímos:</t>
    </r>
  </si>
  <si>
    <t>RPM MÍNIMAS</t>
  </si>
  <si>
    <t>¿Cuánto tiempo tarda el timer en desbordarse con el prescaler asignado? [TICK*65,535] [s]</t>
  </si>
  <si>
    <r>
      <t xml:space="preserve">Duración </t>
    </r>
    <r>
      <rPr>
        <b/>
        <sz val="11"/>
        <color theme="1"/>
        <rFont val="Aptos Narrow"/>
        <family val="2"/>
        <scheme val="minor"/>
      </rPr>
      <t>Máxima</t>
    </r>
    <r>
      <rPr>
        <sz val="11"/>
        <color theme="1"/>
        <rFont val="Aptos Narrow"/>
        <family val="2"/>
        <scheme val="minor"/>
      </rPr>
      <t xml:space="preserve"> de tiempo límite entre flanco y flanco [s]: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</si>
</sst>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5" formatCode="0.###\ ###\ ###"/>
    <numFmt numFmtId="193" formatCode="0.000000000"/>
    <numFmt numFmtId="199" formatCode="###\ ###\ ###\ ###.\ ##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85" fontId="0" fillId="0" borderId="0" xfId="0" applyNumberFormat="1"/>
    <xf numFmtId="0" fontId="0" fillId="0" borderId="0" xfId="0" applyAlignment="1">
      <alignment horizontal="center" vertical="center"/>
    </xf>
    <xf numFmtId="193" fontId="0" fillId="0" borderId="0" xfId="0" applyNumberFormat="1"/>
    <xf numFmtId="1" fontId="0" fillId="0" borderId="0" xfId="0" applyNumberFormat="1"/>
    <xf numFmtId="193" fontId="0" fillId="2" borderId="0" xfId="0" applyNumberFormat="1" applyFill="1" applyAlignment="1">
      <alignment wrapText="1"/>
    </xf>
    <xf numFmtId="0" fontId="0" fillId="0" borderId="0" xfId="0" applyAlignment="1">
      <alignment wrapText="1"/>
    </xf>
    <xf numFmtId="193" fontId="0" fillId="0" borderId="0" xfId="0" applyNumberFormat="1" applyAlignment="1">
      <alignment wrapText="1"/>
    </xf>
    <xf numFmtId="193" fontId="0" fillId="0" borderId="0" xfId="0" applyNumberFormat="1" applyAlignment="1">
      <alignment horizontal="center" vertical="center"/>
    </xf>
    <xf numFmtId="199" fontId="0" fillId="0" borderId="0" xfId="0" applyNumberFormat="1"/>
    <xf numFmtId="19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352426</xdr:colOff>
      <xdr:row>1</xdr:row>
      <xdr:rowOff>133351</xdr:rowOff>
    </xdr:from>
    <xdr:to>
      <xdr:col>7</xdr:col>
      <xdr:colOff>733426</xdr:colOff>
      <xdr:row>20</xdr:row>
      <xdr:rowOff>2039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6F4BB9-7354-4B69-9C48-61663E08E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323851"/>
          <a:ext cx="5715000" cy="4250188"/>
        </a:xfrm>
        <a:prstGeom prst="rect">
          <a:avLst/>
        </a:prstGeom>
      </xdr:spPr>
    </xdr:pic>
    <xdr:clientData/>
  </xdr:twoCellAnchor>
  <xdr:oneCellAnchor>
    <xdr:from>
      <xdr:col>8</xdr:col>
      <xdr:colOff>811969</xdr:colOff>
      <xdr:row>0</xdr:row>
      <xdr:rowOff>0</xdr:rowOff>
    </xdr:from>
    <xdr:ext cx="3810000" cy="1125693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5E2C3546-9DDD-8AB8-F52A-96FB8EAEBB5F}"/>
            </a:ext>
          </a:extLst>
        </xdr:cNvPr>
        <xdr:cNvSpPr txBox="1"/>
      </xdr:nvSpPr>
      <xdr:spPr>
        <a:xfrm>
          <a:off x="6907969" y="0"/>
          <a:ext cx="3810000" cy="112569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/>
            <a:t>por el teorema de Nadquiz-Shannon</a:t>
          </a:r>
          <a:r>
            <a:rPr lang="es-MX" sz="1100" baseline="0"/>
            <a:t> se puede deternimar el timepo mínimo que puede durar el periodo</a:t>
          </a:r>
        </a:p>
        <a:p>
          <a:r>
            <a:rPr lang="es-MX" sz="1100" baseline="0"/>
            <a:t>entre los flancos de subida de cada diente. (2 TICKS) </a:t>
          </a:r>
        </a:p>
        <a:p>
          <a:endParaRPr lang="es-MX" sz="1100" baseline="0"/>
        </a:p>
        <a:p>
          <a:r>
            <a:rPr lang="es-MX" sz="1100" baseline="0"/>
            <a:t>Dependerá de los ciclos requeridos para determinar el valor más grande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2A34E-D00C-4534-A506-139891F94C57}">
  <dimension ref="I1:Z61"/>
  <sheetViews>
    <sheetView tabSelected="1" zoomScale="25" zoomScaleNormal="25" workbookViewId="0">
      <selection activeCell="K36" sqref="K36"/>
    </sheetView>
  </sheetViews>
  <sheetFormatPr baseColWidth="10" defaultRowHeight="15" x14ac:dyDescent="0.25"/>
  <cols>
    <col min="9" max="10" width="27.140625" bestFit="1" customWidth="1"/>
    <col min="11" max="11" width="43.85546875" customWidth="1"/>
    <col min="12" max="12" width="46.42578125" bestFit="1" customWidth="1"/>
    <col min="13" max="13" width="21.85546875" customWidth="1"/>
    <col min="14" max="14" width="27.140625" style="4" bestFit="1" customWidth="1"/>
    <col min="15" max="15" width="24.140625" style="3" bestFit="1" customWidth="1"/>
    <col min="16" max="16" width="14.42578125" style="4" bestFit="1" customWidth="1"/>
    <col min="17" max="17" width="13.140625" style="3" bestFit="1" customWidth="1"/>
    <col min="18" max="19" width="28.42578125" style="3" customWidth="1"/>
    <col min="20" max="20" width="25.42578125" style="3" customWidth="1"/>
    <col min="21" max="21" width="29.28515625" customWidth="1"/>
    <col min="22" max="22" width="16.85546875" style="9" bestFit="1" customWidth="1"/>
    <col min="23" max="23" width="13.140625" bestFit="1" customWidth="1"/>
    <col min="24" max="24" width="41.42578125" customWidth="1"/>
    <col min="25" max="25" width="23.28515625" customWidth="1"/>
    <col min="26" max="26" width="20.7109375" customWidth="1"/>
  </cols>
  <sheetData>
    <row r="1" spans="9:26" x14ac:dyDescent="0.25">
      <c r="J1" t="s">
        <v>0</v>
      </c>
    </row>
    <row r="2" spans="9:26" x14ac:dyDescent="0.25">
      <c r="J2" t="s">
        <v>1</v>
      </c>
      <c r="K2">
        <v>35</v>
      </c>
    </row>
    <row r="3" spans="9:26" x14ac:dyDescent="0.25">
      <c r="J3" t="s">
        <v>2</v>
      </c>
      <c r="K3">
        <v>1</v>
      </c>
    </row>
    <row r="6" spans="9:26" ht="45" x14ac:dyDescent="0.25">
      <c r="R6" s="5" t="s">
        <v>14</v>
      </c>
      <c r="T6" s="7" t="s">
        <v>8</v>
      </c>
      <c r="U6" s="6" t="s">
        <v>11</v>
      </c>
      <c r="X6" s="5" t="s">
        <v>17</v>
      </c>
      <c r="Y6" s="7" t="s">
        <v>8</v>
      </c>
    </row>
    <row r="7" spans="9:26" ht="45" x14ac:dyDescent="0.25">
      <c r="I7" t="s">
        <v>3</v>
      </c>
      <c r="J7" t="s">
        <v>5</v>
      </c>
      <c r="K7" t="s">
        <v>4</v>
      </c>
      <c r="L7" s="2" t="s">
        <v>6</v>
      </c>
      <c r="N7" t="s">
        <v>7</v>
      </c>
      <c r="O7" t="s">
        <v>5</v>
      </c>
      <c r="P7" t="s">
        <v>4</v>
      </c>
      <c r="Q7" s="2" t="s">
        <v>6</v>
      </c>
      <c r="R7" s="11">
        <v>100</v>
      </c>
      <c r="S7" s="5" t="s">
        <v>13</v>
      </c>
      <c r="T7" s="8" t="s">
        <v>9</v>
      </c>
      <c r="U7" s="6" t="s">
        <v>10</v>
      </c>
      <c r="V7" s="10" t="s">
        <v>12</v>
      </c>
      <c r="W7" s="2" t="s">
        <v>15</v>
      </c>
      <c r="X7" s="12" t="s">
        <v>16</v>
      </c>
      <c r="Y7" s="8" t="s">
        <v>9</v>
      </c>
      <c r="Z7" s="6" t="s">
        <v>10</v>
      </c>
    </row>
    <row r="8" spans="9:26" x14ac:dyDescent="0.25">
      <c r="I8">
        <v>4</v>
      </c>
      <c r="J8" s="1">
        <f>4/(I8*(10^6))</f>
        <v>9.9999999999999995E-7</v>
      </c>
      <c r="K8">
        <v>8</v>
      </c>
      <c r="L8" s="3">
        <f>J8*K8</f>
        <v>7.9999999999999996E-6</v>
      </c>
      <c r="N8" s="4" cm="1">
        <f t="array" ref="N8:Q31">_xlfn.SORTBY(I8:L31,L8:L31,-1)</f>
        <v>4</v>
      </c>
      <c r="O8" s="3">
        <v>9.9999999999999995E-7</v>
      </c>
      <c r="P8" s="4">
        <v>8</v>
      </c>
      <c r="Q8" s="3">
        <v>7.9999999999999996E-6</v>
      </c>
      <c r="R8" s="3">
        <f>Q8*$R$7</f>
        <v>7.9999999999999993E-4</v>
      </c>
      <c r="S8" s="4">
        <f>R8/O8</f>
        <v>800</v>
      </c>
      <c r="T8" s="3">
        <f>R8*36</f>
        <v>2.8799999999999999E-2</v>
      </c>
      <c r="U8">
        <f>(1*1)/T8</f>
        <v>34.722222222222221</v>
      </c>
      <c r="V8" s="9">
        <f>U8*60</f>
        <v>2083.3333333333335</v>
      </c>
      <c r="W8">
        <f>60*Z8</f>
        <v>3.1789628951450881</v>
      </c>
      <c r="X8">
        <f>Q8*65535</f>
        <v>0.52427999999999997</v>
      </c>
      <c r="Y8">
        <f>X8*36</f>
        <v>18.874079999999999</v>
      </c>
      <c r="Z8">
        <f>1/Y8</f>
        <v>5.2982714919084802E-2</v>
      </c>
    </row>
    <row r="9" spans="9:26" x14ac:dyDescent="0.25">
      <c r="I9">
        <v>4</v>
      </c>
      <c r="J9" s="1">
        <f>4/(I9*(10^6))</f>
        <v>9.9999999999999995E-7</v>
      </c>
      <c r="K9">
        <v>4</v>
      </c>
      <c r="L9" s="3">
        <f>J9*K9</f>
        <v>3.9999999999999998E-6</v>
      </c>
      <c r="N9" s="4">
        <v>6</v>
      </c>
      <c r="O9" s="3">
        <v>6.6666666666666671E-7</v>
      </c>
      <c r="P9" s="4">
        <v>8</v>
      </c>
      <c r="Q9" s="3">
        <v>5.3333333333333337E-6</v>
      </c>
      <c r="R9" s="3">
        <f t="shared" ref="R9:R31" si="0">Q9*$R$7</f>
        <v>5.3333333333333336E-4</v>
      </c>
      <c r="S9" s="4">
        <f t="shared" ref="S9:S30" si="1">R9/O9</f>
        <v>800</v>
      </c>
      <c r="T9" s="3">
        <f t="shared" ref="T9:T31" si="2">R9*36</f>
        <v>1.9200000000000002E-2</v>
      </c>
      <c r="U9">
        <f t="shared" ref="U9:U31" si="3">(1*1)/T9</f>
        <v>52.083333333333329</v>
      </c>
      <c r="V9" s="9">
        <f t="shared" ref="V9:V31" si="4">U9*60</f>
        <v>3124.9999999999995</v>
      </c>
      <c r="W9">
        <f t="shared" ref="W9:W31" si="5">60*Z9</f>
        <v>4.7684443427176317</v>
      </c>
      <c r="X9">
        <f t="shared" ref="X9:X31" si="6">Q9*65535</f>
        <v>0.34952</v>
      </c>
      <c r="Y9">
        <f t="shared" ref="Y9:Y31" si="7">X9*36</f>
        <v>12.58272</v>
      </c>
      <c r="Z9">
        <f t="shared" ref="Z9:Z31" si="8">1/Y9</f>
        <v>7.9474072378627192E-2</v>
      </c>
    </row>
    <row r="10" spans="9:26" x14ac:dyDescent="0.25">
      <c r="I10">
        <v>4</v>
      </c>
      <c r="J10" s="1">
        <f>4/(I10*(10^6))</f>
        <v>9.9999999999999995E-7</v>
      </c>
      <c r="K10">
        <v>2</v>
      </c>
      <c r="L10" s="3">
        <f>J10*K10</f>
        <v>1.9999999999999999E-6</v>
      </c>
      <c r="N10" s="4">
        <v>4</v>
      </c>
      <c r="O10" s="3">
        <v>9.9999999999999995E-7</v>
      </c>
      <c r="P10" s="4">
        <v>4</v>
      </c>
      <c r="Q10" s="3">
        <v>3.9999999999999998E-6</v>
      </c>
      <c r="R10" s="3">
        <f t="shared" si="0"/>
        <v>3.9999999999999996E-4</v>
      </c>
      <c r="S10" s="4">
        <f t="shared" si="1"/>
        <v>400</v>
      </c>
      <c r="T10" s="3">
        <f t="shared" si="2"/>
        <v>1.44E-2</v>
      </c>
      <c r="U10">
        <f t="shared" si="3"/>
        <v>69.444444444444443</v>
      </c>
      <c r="V10" s="9">
        <f t="shared" si="4"/>
        <v>4166.666666666667</v>
      </c>
      <c r="W10">
        <f t="shared" si="5"/>
        <v>6.3579257902901762</v>
      </c>
      <c r="X10">
        <f t="shared" si="6"/>
        <v>0.26213999999999998</v>
      </c>
      <c r="Y10">
        <f t="shared" si="7"/>
        <v>9.4370399999999997</v>
      </c>
      <c r="Z10">
        <f t="shared" si="8"/>
        <v>0.1059654298381696</v>
      </c>
    </row>
    <row r="11" spans="9:26" x14ac:dyDescent="0.25">
      <c r="I11">
        <v>4</v>
      </c>
      <c r="J11" s="1">
        <f>4/(I11*(10^6))</f>
        <v>9.9999999999999995E-7</v>
      </c>
      <c r="K11">
        <v>1</v>
      </c>
      <c r="L11" s="3">
        <f>J11*K11</f>
        <v>9.9999999999999995E-7</v>
      </c>
      <c r="N11" s="4">
        <v>8</v>
      </c>
      <c r="O11" s="3">
        <v>4.9999999999999998E-7</v>
      </c>
      <c r="P11" s="4">
        <v>8</v>
      </c>
      <c r="Q11" s="3">
        <v>3.9999999999999998E-6</v>
      </c>
      <c r="R11" s="3">
        <f t="shared" si="0"/>
        <v>3.9999999999999996E-4</v>
      </c>
      <c r="S11" s="4">
        <f t="shared" si="1"/>
        <v>800</v>
      </c>
      <c r="T11" s="3">
        <f t="shared" si="2"/>
        <v>1.44E-2</v>
      </c>
      <c r="U11">
        <f t="shared" si="3"/>
        <v>69.444444444444443</v>
      </c>
      <c r="V11" s="9">
        <f t="shared" si="4"/>
        <v>4166.666666666667</v>
      </c>
      <c r="W11">
        <f t="shared" si="5"/>
        <v>6.3579257902901762</v>
      </c>
      <c r="X11">
        <f t="shared" si="6"/>
        <v>0.26213999999999998</v>
      </c>
      <c r="Y11">
        <f t="shared" si="7"/>
        <v>9.4370399999999997</v>
      </c>
      <c r="Z11">
        <f t="shared" si="8"/>
        <v>0.1059654298381696</v>
      </c>
    </row>
    <row r="12" spans="9:26" x14ac:dyDescent="0.25">
      <c r="I12">
        <v>6</v>
      </c>
      <c r="J12" s="1">
        <f>4/(I12*(10^6))</f>
        <v>6.6666666666666671E-7</v>
      </c>
      <c r="K12">
        <v>8</v>
      </c>
      <c r="L12" s="3">
        <f>J12*K12</f>
        <v>5.3333333333333337E-6</v>
      </c>
      <c r="N12" s="4">
        <v>6</v>
      </c>
      <c r="O12" s="3">
        <v>6.6666666666666671E-7</v>
      </c>
      <c r="P12" s="4">
        <v>4</v>
      </c>
      <c r="Q12" s="3">
        <v>2.6666666666666668E-6</v>
      </c>
      <c r="R12" s="3">
        <f t="shared" si="0"/>
        <v>2.6666666666666668E-4</v>
      </c>
      <c r="S12" s="4">
        <f t="shared" si="1"/>
        <v>400</v>
      </c>
      <c r="T12" s="3">
        <f t="shared" si="2"/>
        <v>9.6000000000000009E-3</v>
      </c>
      <c r="U12">
        <f t="shared" si="3"/>
        <v>104.16666666666666</v>
      </c>
      <c r="V12" s="9">
        <f t="shared" si="4"/>
        <v>6249.9999999999991</v>
      </c>
      <c r="W12">
        <f t="shared" si="5"/>
        <v>9.5368886854352635</v>
      </c>
      <c r="X12">
        <f t="shared" si="6"/>
        <v>0.17476</v>
      </c>
      <c r="Y12">
        <f t="shared" si="7"/>
        <v>6.2913600000000001</v>
      </c>
      <c r="Z12">
        <f t="shared" si="8"/>
        <v>0.15894814475725438</v>
      </c>
    </row>
    <row r="13" spans="9:26" x14ac:dyDescent="0.25">
      <c r="I13">
        <v>6</v>
      </c>
      <c r="J13" s="1">
        <f>4/(I13*(10^6))</f>
        <v>6.6666666666666671E-7</v>
      </c>
      <c r="K13">
        <v>4</v>
      </c>
      <c r="L13" s="3">
        <f>J13*K13</f>
        <v>2.6666666666666668E-6</v>
      </c>
      <c r="N13" s="4">
        <v>12</v>
      </c>
      <c r="O13" s="3">
        <v>3.3333333333333335E-7</v>
      </c>
      <c r="P13" s="4">
        <v>8</v>
      </c>
      <c r="Q13" s="3">
        <v>2.6666666666666668E-6</v>
      </c>
      <c r="R13" s="3">
        <f t="shared" si="0"/>
        <v>2.6666666666666668E-4</v>
      </c>
      <c r="S13" s="4">
        <f t="shared" si="1"/>
        <v>800</v>
      </c>
      <c r="T13" s="3">
        <f t="shared" si="2"/>
        <v>9.6000000000000009E-3</v>
      </c>
      <c r="U13">
        <f t="shared" si="3"/>
        <v>104.16666666666666</v>
      </c>
      <c r="V13" s="9">
        <f t="shared" si="4"/>
        <v>6249.9999999999991</v>
      </c>
      <c r="W13">
        <f t="shared" si="5"/>
        <v>9.5368886854352635</v>
      </c>
      <c r="X13">
        <f t="shared" si="6"/>
        <v>0.17476</v>
      </c>
      <c r="Y13">
        <f t="shared" si="7"/>
        <v>6.2913600000000001</v>
      </c>
      <c r="Z13">
        <f t="shared" si="8"/>
        <v>0.15894814475725438</v>
      </c>
    </row>
    <row r="14" spans="9:26" x14ac:dyDescent="0.25">
      <c r="I14">
        <v>6</v>
      </c>
      <c r="J14" s="1">
        <f>4/(I14*(10^6))</f>
        <v>6.6666666666666671E-7</v>
      </c>
      <c r="K14">
        <v>2</v>
      </c>
      <c r="L14" s="3">
        <f>J14*K14</f>
        <v>1.3333333333333334E-6</v>
      </c>
      <c r="N14" s="4">
        <v>4</v>
      </c>
      <c r="O14" s="3">
        <v>9.9999999999999995E-7</v>
      </c>
      <c r="P14" s="4">
        <v>2</v>
      </c>
      <c r="Q14" s="3">
        <v>1.9999999999999999E-6</v>
      </c>
      <c r="R14" s="3">
        <f t="shared" si="0"/>
        <v>1.9999999999999998E-4</v>
      </c>
      <c r="S14" s="4">
        <f t="shared" si="1"/>
        <v>200</v>
      </c>
      <c r="T14" s="3">
        <f t="shared" si="2"/>
        <v>7.1999999999999998E-3</v>
      </c>
      <c r="U14">
        <f t="shared" si="3"/>
        <v>138.88888888888889</v>
      </c>
      <c r="V14" s="9">
        <f t="shared" si="4"/>
        <v>8333.3333333333339</v>
      </c>
      <c r="W14">
        <f t="shared" si="5"/>
        <v>12.715851580580352</v>
      </c>
      <c r="X14">
        <f t="shared" si="6"/>
        <v>0.13106999999999999</v>
      </c>
      <c r="Y14">
        <f t="shared" si="7"/>
        <v>4.7185199999999998</v>
      </c>
      <c r="Z14">
        <f t="shared" si="8"/>
        <v>0.21193085967633921</v>
      </c>
    </row>
    <row r="15" spans="9:26" x14ac:dyDescent="0.25">
      <c r="I15">
        <v>6</v>
      </c>
      <c r="J15" s="1">
        <f>4/(I15*(10^6))</f>
        <v>6.6666666666666671E-7</v>
      </c>
      <c r="K15">
        <v>1</v>
      </c>
      <c r="L15" s="3">
        <f>J15*K15</f>
        <v>6.6666666666666671E-7</v>
      </c>
      <c r="N15" s="4">
        <v>8</v>
      </c>
      <c r="O15" s="3">
        <v>4.9999999999999998E-7</v>
      </c>
      <c r="P15" s="4">
        <v>4</v>
      </c>
      <c r="Q15" s="3">
        <v>1.9999999999999999E-6</v>
      </c>
      <c r="R15" s="3">
        <f t="shared" si="0"/>
        <v>1.9999999999999998E-4</v>
      </c>
      <c r="S15" s="4">
        <f t="shared" si="1"/>
        <v>400</v>
      </c>
      <c r="T15" s="3">
        <f t="shared" si="2"/>
        <v>7.1999999999999998E-3</v>
      </c>
      <c r="U15">
        <f t="shared" si="3"/>
        <v>138.88888888888889</v>
      </c>
      <c r="V15" s="9">
        <f t="shared" si="4"/>
        <v>8333.3333333333339</v>
      </c>
      <c r="W15">
        <f t="shared" si="5"/>
        <v>12.715851580580352</v>
      </c>
      <c r="X15">
        <f t="shared" si="6"/>
        <v>0.13106999999999999</v>
      </c>
      <c r="Y15">
        <f t="shared" si="7"/>
        <v>4.7185199999999998</v>
      </c>
      <c r="Z15">
        <f t="shared" si="8"/>
        <v>0.21193085967633921</v>
      </c>
    </row>
    <row r="16" spans="9:26" x14ac:dyDescent="0.25">
      <c r="I16">
        <v>8</v>
      </c>
      <c r="J16" s="1">
        <f>4/(I16*(10^6))</f>
        <v>4.9999999999999998E-7</v>
      </c>
      <c r="K16">
        <v>8</v>
      </c>
      <c r="L16" s="3">
        <f t="shared" ref="L16:L31" si="9">J16*K16</f>
        <v>3.9999999999999998E-6</v>
      </c>
      <c r="N16" s="4">
        <v>16</v>
      </c>
      <c r="O16" s="3">
        <v>2.4999999999999999E-7</v>
      </c>
      <c r="P16" s="4">
        <v>8</v>
      </c>
      <c r="Q16" s="3">
        <v>1.9999999999999999E-6</v>
      </c>
      <c r="R16" s="3">
        <f t="shared" si="0"/>
        <v>1.9999999999999998E-4</v>
      </c>
      <c r="S16" s="4">
        <f t="shared" si="1"/>
        <v>800</v>
      </c>
      <c r="T16" s="3">
        <f t="shared" si="2"/>
        <v>7.1999999999999998E-3</v>
      </c>
      <c r="U16">
        <f t="shared" si="3"/>
        <v>138.88888888888889</v>
      </c>
      <c r="V16" s="9">
        <f t="shared" si="4"/>
        <v>8333.3333333333339</v>
      </c>
      <c r="W16">
        <f t="shared" si="5"/>
        <v>12.715851580580352</v>
      </c>
      <c r="X16">
        <f t="shared" si="6"/>
        <v>0.13106999999999999</v>
      </c>
      <c r="Y16">
        <f t="shared" si="7"/>
        <v>4.7185199999999998</v>
      </c>
      <c r="Z16">
        <f t="shared" si="8"/>
        <v>0.21193085967633921</v>
      </c>
    </row>
    <row r="17" spans="9:26" x14ac:dyDescent="0.25">
      <c r="I17">
        <v>8</v>
      </c>
      <c r="J17" s="1">
        <f>4/(I17*(10^6))</f>
        <v>4.9999999999999998E-7</v>
      </c>
      <c r="K17">
        <v>4</v>
      </c>
      <c r="L17" s="3">
        <f t="shared" si="9"/>
        <v>1.9999999999999999E-6</v>
      </c>
      <c r="N17" s="4">
        <v>20</v>
      </c>
      <c r="O17" s="3">
        <v>1.9999999999999999E-7</v>
      </c>
      <c r="P17" s="4">
        <v>8</v>
      </c>
      <c r="Q17" s="3">
        <v>1.5999999999999999E-6</v>
      </c>
      <c r="R17" s="3">
        <f t="shared" si="0"/>
        <v>1.5999999999999999E-4</v>
      </c>
      <c r="S17" s="4">
        <f t="shared" si="1"/>
        <v>800</v>
      </c>
      <c r="T17" s="3">
        <f t="shared" si="2"/>
        <v>5.7599999999999995E-3</v>
      </c>
      <c r="U17">
        <f t="shared" si="3"/>
        <v>173.61111111111111</v>
      </c>
      <c r="V17" s="9">
        <f t="shared" si="4"/>
        <v>10416.666666666666</v>
      </c>
      <c r="W17">
        <f t="shared" si="5"/>
        <v>15.894814475725441</v>
      </c>
      <c r="X17">
        <f t="shared" si="6"/>
        <v>0.10485599999999999</v>
      </c>
      <c r="Y17">
        <f t="shared" si="7"/>
        <v>3.7748159999999995</v>
      </c>
      <c r="Z17">
        <f t="shared" si="8"/>
        <v>0.26491357459542403</v>
      </c>
    </row>
    <row r="18" spans="9:26" x14ac:dyDescent="0.25">
      <c r="I18">
        <v>8</v>
      </c>
      <c r="J18" s="1">
        <f>4/(I18*(10^6))</f>
        <v>4.9999999999999998E-7</v>
      </c>
      <c r="K18">
        <v>2</v>
      </c>
      <c r="L18" s="3">
        <f t="shared" si="9"/>
        <v>9.9999999999999995E-7</v>
      </c>
      <c r="N18" s="4">
        <v>6</v>
      </c>
      <c r="O18" s="3">
        <v>6.6666666666666671E-7</v>
      </c>
      <c r="P18" s="4">
        <v>2</v>
      </c>
      <c r="Q18" s="3">
        <v>1.3333333333333334E-6</v>
      </c>
      <c r="R18" s="3">
        <f t="shared" si="0"/>
        <v>1.3333333333333334E-4</v>
      </c>
      <c r="S18" s="4">
        <f t="shared" si="1"/>
        <v>200</v>
      </c>
      <c r="T18" s="3">
        <f t="shared" si="2"/>
        <v>4.8000000000000004E-3</v>
      </c>
      <c r="U18">
        <f t="shared" si="3"/>
        <v>208.33333333333331</v>
      </c>
      <c r="V18" s="9">
        <f t="shared" si="4"/>
        <v>12499.999999999998</v>
      </c>
      <c r="W18">
        <f t="shared" si="5"/>
        <v>19.073777370870527</v>
      </c>
      <c r="X18">
        <f t="shared" si="6"/>
        <v>8.7379999999999999E-2</v>
      </c>
      <c r="Y18">
        <f t="shared" si="7"/>
        <v>3.14568</v>
      </c>
      <c r="Z18">
        <f t="shared" si="8"/>
        <v>0.31789628951450877</v>
      </c>
    </row>
    <row r="19" spans="9:26" x14ac:dyDescent="0.25">
      <c r="I19">
        <v>8</v>
      </c>
      <c r="J19" s="1">
        <f>4/(I19*(10^6))</f>
        <v>4.9999999999999998E-7</v>
      </c>
      <c r="K19">
        <v>1</v>
      </c>
      <c r="L19" s="3">
        <f t="shared" si="9"/>
        <v>4.9999999999999998E-7</v>
      </c>
      <c r="N19" s="4">
        <v>12</v>
      </c>
      <c r="O19" s="3">
        <v>3.3333333333333335E-7</v>
      </c>
      <c r="P19" s="4">
        <v>4</v>
      </c>
      <c r="Q19" s="3">
        <v>1.3333333333333334E-6</v>
      </c>
      <c r="R19" s="3">
        <f t="shared" si="0"/>
        <v>1.3333333333333334E-4</v>
      </c>
      <c r="S19" s="4">
        <f t="shared" si="1"/>
        <v>400</v>
      </c>
      <c r="T19" s="3">
        <f t="shared" si="2"/>
        <v>4.8000000000000004E-3</v>
      </c>
      <c r="U19">
        <f t="shared" si="3"/>
        <v>208.33333333333331</v>
      </c>
      <c r="V19" s="9">
        <f t="shared" si="4"/>
        <v>12499.999999999998</v>
      </c>
      <c r="W19">
        <f t="shared" si="5"/>
        <v>19.073777370870527</v>
      </c>
      <c r="X19">
        <f t="shared" si="6"/>
        <v>8.7379999999999999E-2</v>
      </c>
      <c r="Y19">
        <f t="shared" si="7"/>
        <v>3.14568</v>
      </c>
      <c r="Z19">
        <f t="shared" si="8"/>
        <v>0.31789628951450877</v>
      </c>
    </row>
    <row r="20" spans="9:26" x14ac:dyDescent="0.25">
      <c r="I20">
        <v>12</v>
      </c>
      <c r="J20" s="1">
        <f>4/(I20*(10^6))</f>
        <v>3.3333333333333335E-7</v>
      </c>
      <c r="K20">
        <v>8</v>
      </c>
      <c r="L20" s="3">
        <f t="shared" si="9"/>
        <v>2.6666666666666668E-6</v>
      </c>
      <c r="N20" s="4">
        <v>4</v>
      </c>
      <c r="O20" s="3">
        <v>9.9999999999999995E-7</v>
      </c>
      <c r="P20" s="4">
        <v>1</v>
      </c>
      <c r="Q20" s="3">
        <v>9.9999999999999995E-7</v>
      </c>
      <c r="R20" s="3">
        <f t="shared" si="0"/>
        <v>9.9999999999999991E-5</v>
      </c>
      <c r="S20" s="4">
        <f t="shared" si="1"/>
        <v>100</v>
      </c>
      <c r="T20" s="3">
        <f t="shared" si="2"/>
        <v>3.5999999999999999E-3</v>
      </c>
      <c r="U20">
        <f t="shared" si="3"/>
        <v>277.77777777777777</v>
      </c>
      <c r="V20" s="9">
        <f t="shared" si="4"/>
        <v>16666.666666666668</v>
      </c>
      <c r="W20">
        <f t="shared" si="5"/>
        <v>25.431703161160705</v>
      </c>
      <c r="X20">
        <f t="shared" si="6"/>
        <v>6.5534999999999996E-2</v>
      </c>
      <c r="Y20">
        <f t="shared" si="7"/>
        <v>2.3592599999999999</v>
      </c>
      <c r="Z20">
        <f t="shared" si="8"/>
        <v>0.42386171935267841</v>
      </c>
    </row>
    <row r="21" spans="9:26" x14ac:dyDescent="0.25">
      <c r="I21">
        <v>12</v>
      </c>
      <c r="J21" s="1">
        <f>4/(I21*(10^6))</f>
        <v>3.3333333333333335E-7</v>
      </c>
      <c r="K21">
        <v>4</v>
      </c>
      <c r="L21" s="3">
        <f t="shared" si="9"/>
        <v>1.3333333333333334E-6</v>
      </c>
      <c r="N21" s="4">
        <v>8</v>
      </c>
      <c r="O21" s="3">
        <v>4.9999999999999998E-7</v>
      </c>
      <c r="P21" s="4">
        <v>2</v>
      </c>
      <c r="Q21" s="3">
        <v>9.9999999999999995E-7</v>
      </c>
      <c r="R21" s="3">
        <f t="shared" si="0"/>
        <v>9.9999999999999991E-5</v>
      </c>
      <c r="S21" s="4">
        <f t="shared" si="1"/>
        <v>200</v>
      </c>
      <c r="T21" s="3">
        <f t="shared" si="2"/>
        <v>3.5999999999999999E-3</v>
      </c>
      <c r="U21">
        <f t="shared" si="3"/>
        <v>277.77777777777777</v>
      </c>
      <c r="V21" s="9">
        <f t="shared" si="4"/>
        <v>16666.666666666668</v>
      </c>
      <c r="W21">
        <f t="shared" si="5"/>
        <v>25.431703161160705</v>
      </c>
      <c r="X21">
        <f t="shared" si="6"/>
        <v>6.5534999999999996E-2</v>
      </c>
      <c r="Y21">
        <f t="shared" si="7"/>
        <v>2.3592599999999999</v>
      </c>
      <c r="Z21">
        <f t="shared" si="8"/>
        <v>0.42386171935267841</v>
      </c>
    </row>
    <row r="22" spans="9:26" x14ac:dyDescent="0.25">
      <c r="I22">
        <v>12</v>
      </c>
      <c r="J22" s="1">
        <f>4/(I22*(10^6))</f>
        <v>3.3333333333333335E-7</v>
      </c>
      <c r="K22">
        <v>2</v>
      </c>
      <c r="L22" s="3">
        <f t="shared" si="9"/>
        <v>6.6666666666666671E-7</v>
      </c>
      <c r="N22" s="4">
        <v>16</v>
      </c>
      <c r="O22" s="3">
        <v>2.4999999999999999E-7</v>
      </c>
      <c r="P22" s="4">
        <v>4</v>
      </c>
      <c r="Q22" s="3">
        <v>9.9999999999999995E-7</v>
      </c>
      <c r="R22" s="3">
        <f t="shared" si="0"/>
        <v>9.9999999999999991E-5</v>
      </c>
      <c r="S22" s="4">
        <f t="shared" si="1"/>
        <v>400</v>
      </c>
      <c r="T22" s="3">
        <f t="shared" si="2"/>
        <v>3.5999999999999999E-3</v>
      </c>
      <c r="U22">
        <f t="shared" si="3"/>
        <v>277.77777777777777</v>
      </c>
      <c r="V22" s="9">
        <f t="shared" si="4"/>
        <v>16666.666666666668</v>
      </c>
      <c r="W22">
        <f t="shared" si="5"/>
        <v>25.431703161160705</v>
      </c>
      <c r="X22">
        <f t="shared" si="6"/>
        <v>6.5534999999999996E-2</v>
      </c>
      <c r="Y22">
        <f t="shared" si="7"/>
        <v>2.3592599999999999</v>
      </c>
      <c r="Z22">
        <f t="shared" si="8"/>
        <v>0.42386171935267841</v>
      </c>
    </row>
    <row r="23" spans="9:26" x14ac:dyDescent="0.25">
      <c r="I23">
        <v>12</v>
      </c>
      <c r="J23" s="1">
        <f>4/(I23*(10^6))</f>
        <v>3.3333333333333335E-7</v>
      </c>
      <c r="K23">
        <v>1</v>
      </c>
      <c r="L23" s="3">
        <f t="shared" si="9"/>
        <v>3.3333333333333335E-7</v>
      </c>
      <c r="N23" s="4">
        <v>20</v>
      </c>
      <c r="O23" s="3">
        <v>1.9999999999999999E-7</v>
      </c>
      <c r="P23" s="4">
        <v>4</v>
      </c>
      <c r="Q23" s="3">
        <v>7.9999999999999996E-7</v>
      </c>
      <c r="R23" s="3">
        <f t="shared" si="0"/>
        <v>7.9999999999999993E-5</v>
      </c>
      <c r="S23" s="4">
        <f t="shared" si="1"/>
        <v>400</v>
      </c>
      <c r="T23" s="3">
        <f t="shared" si="2"/>
        <v>2.8799999999999997E-3</v>
      </c>
      <c r="U23">
        <f t="shared" si="3"/>
        <v>347.22222222222223</v>
      </c>
      <c r="V23" s="9">
        <f t="shared" si="4"/>
        <v>20833.333333333332</v>
      </c>
      <c r="W23">
        <f t="shared" si="5"/>
        <v>31.789628951450883</v>
      </c>
      <c r="X23">
        <f t="shared" si="6"/>
        <v>5.2427999999999995E-2</v>
      </c>
      <c r="Y23">
        <f t="shared" si="7"/>
        <v>1.8874079999999998</v>
      </c>
      <c r="Z23">
        <f t="shared" si="8"/>
        <v>0.52982714919084806</v>
      </c>
    </row>
    <row r="24" spans="9:26" x14ac:dyDescent="0.25">
      <c r="I24">
        <v>16</v>
      </c>
      <c r="J24" s="1">
        <f>4/(I24*(10^6))</f>
        <v>2.4999999999999999E-7</v>
      </c>
      <c r="K24">
        <v>8</v>
      </c>
      <c r="L24" s="3">
        <f t="shared" si="9"/>
        <v>1.9999999999999999E-6</v>
      </c>
      <c r="N24" s="4">
        <v>6</v>
      </c>
      <c r="O24" s="3">
        <v>6.6666666666666671E-7</v>
      </c>
      <c r="P24" s="4">
        <v>1</v>
      </c>
      <c r="Q24" s="3">
        <v>6.6666666666666671E-7</v>
      </c>
      <c r="R24" s="3">
        <f t="shared" si="0"/>
        <v>6.666666666666667E-5</v>
      </c>
      <c r="S24" s="4">
        <f t="shared" si="1"/>
        <v>100</v>
      </c>
      <c r="T24" s="3">
        <f t="shared" si="2"/>
        <v>2.4000000000000002E-3</v>
      </c>
      <c r="U24">
        <f t="shared" si="3"/>
        <v>416.66666666666663</v>
      </c>
      <c r="V24" s="9">
        <f t="shared" si="4"/>
        <v>24999.999999999996</v>
      </c>
      <c r="W24">
        <f t="shared" si="5"/>
        <v>38.147554741741054</v>
      </c>
      <c r="X24">
        <f t="shared" si="6"/>
        <v>4.369E-2</v>
      </c>
      <c r="Y24">
        <f t="shared" si="7"/>
        <v>1.57284</v>
      </c>
      <c r="Z24">
        <f t="shared" si="8"/>
        <v>0.63579257902901753</v>
      </c>
    </row>
    <row r="25" spans="9:26" x14ac:dyDescent="0.25">
      <c r="I25">
        <v>16</v>
      </c>
      <c r="J25" s="1">
        <f>4/(I25*(10^6))</f>
        <v>2.4999999999999999E-7</v>
      </c>
      <c r="K25">
        <v>4</v>
      </c>
      <c r="L25" s="3">
        <f t="shared" si="9"/>
        <v>9.9999999999999995E-7</v>
      </c>
      <c r="N25" s="4">
        <v>12</v>
      </c>
      <c r="O25" s="3">
        <v>3.3333333333333335E-7</v>
      </c>
      <c r="P25" s="4">
        <v>2</v>
      </c>
      <c r="Q25" s="3">
        <v>6.6666666666666671E-7</v>
      </c>
      <c r="R25" s="3">
        <f t="shared" si="0"/>
        <v>6.666666666666667E-5</v>
      </c>
      <c r="S25" s="4">
        <f t="shared" si="1"/>
        <v>200</v>
      </c>
      <c r="T25" s="3">
        <f t="shared" si="2"/>
        <v>2.4000000000000002E-3</v>
      </c>
      <c r="U25">
        <f t="shared" si="3"/>
        <v>416.66666666666663</v>
      </c>
      <c r="V25" s="9">
        <f t="shared" si="4"/>
        <v>24999.999999999996</v>
      </c>
      <c r="W25">
        <f t="shared" si="5"/>
        <v>38.147554741741054</v>
      </c>
      <c r="X25">
        <f t="shared" si="6"/>
        <v>4.369E-2</v>
      </c>
      <c r="Y25">
        <f t="shared" si="7"/>
        <v>1.57284</v>
      </c>
      <c r="Z25">
        <f t="shared" si="8"/>
        <v>0.63579257902901753</v>
      </c>
    </row>
    <row r="26" spans="9:26" x14ac:dyDescent="0.25">
      <c r="I26">
        <v>16</v>
      </c>
      <c r="J26" s="1">
        <f>4/(I26*(10^6))</f>
        <v>2.4999999999999999E-7</v>
      </c>
      <c r="K26">
        <v>2</v>
      </c>
      <c r="L26" s="3">
        <f t="shared" si="9"/>
        <v>4.9999999999999998E-7</v>
      </c>
      <c r="N26" s="4">
        <v>8</v>
      </c>
      <c r="O26" s="3">
        <v>4.9999999999999998E-7</v>
      </c>
      <c r="P26" s="4">
        <v>1</v>
      </c>
      <c r="Q26" s="3">
        <v>4.9999999999999998E-7</v>
      </c>
      <c r="R26" s="3">
        <f t="shared" si="0"/>
        <v>4.9999999999999996E-5</v>
      </c>
      <c r="S26" s="4">
        <f t="shared" si="1"/>
        <v>100</v>
      </c>
      <c r="T26" s="3">
        <f t="shared" si="2"/>
        <v>1.8E-3</v>
      </c>
      <c r="U26">
        <f t="shared" si="3"/>
        <v>555.55555555555554</v>
      </c>
      <c r="V26" s="9">
        <f t="shared" si="4"/>
        <v>33333.333333333336</v>
      </c>
      <c r="W26">
        <f t="shared" si="5"/>
        <v>50.86340632232141</v>
      </c>
      <c r="X26">
        <f t="shared" si="6"/>
        <v>3.2767499999999998E-2</v>
      </c>
      <c r="Y26">
        <f t="shared" si="7"/>
        <v>1.17963</v>
      </c>
      <c r="Z26">
        <f t="shared" si="8"/>
        <v>0.84772343870535682</v>
      </c>
    </row>
    <row r="27" spans="9:26" x14ac:dyDescent="0.25">
      <c r="I27">
        <v>16</v>
      </c>
      <c r="J27" s="1">
        <f>4/(I27*(10^6))</f>
        <v>2.4999999999999999E-7</v>
      </c>
      <c r="K27">
        <v>1</v>
      </c>
      <c r="L27" s="3">
        <f t="shared" si="9"/>
        <v>2.4999999999999999E-7</v>
      </c>
      <c r="N27" s="4">
        <v>16</v>
      </c>
      <c r="O27" s="3">
        <v>2.4999999999999999E-7</v>
      </c>
      <c r="P27" s="4">
        <v>2</v>
      </c>
      <c r="Q27" s="3">
        <v>4.9999999999999998E-7</v>
      </c>
      <c r="R27" s="3">
        <f t="shared" si="0"/>
        <v>4.9999999999999996E-5</v>
      </c>
      <c r="S27" s="4">
        <f t="shared" si="1"/>
        <v>200</v>
      </c>
      <c r="T27" s="3">
        <f t="shared" si="2"/>
        <v>1.8E-3</v>
      </c>
      <c r="U27">
        <f t="shared" si="3"/>
        <v>555.55555555555554</v>
      </c>
      <c r="V27" s="9">
        <f t="shared" si="4"/>
        <v>33333.333333333336</v>
      </c>
      <c r="W27">
        <f t="shared" si="5"/>
        <v>50.86340632232141</v>
      </c>
      <c r="X27">
        <f t="shared" si="6"/>
        <v>3.2767499999999998E-2</v>
      </c>
      <c r="Y27">
        <f t="shared" si="7"/>
        <v>1.17963</v>
      </c>
      <c r="Z27">
        <f t="shared" si="8"/>
        <v>0.84772343870535682</v>
      </c>
    </row>
    <row r="28" spans="9:26" x14ac:dyDescent="0.25">
      <c r="I28">
        <v>20</v>
      </c>
      <c r="J28" s="1">
        <f>4/(I28*(10^6))</f>
        <v>1.9999999999999999E-7</v>
      </c>
      <c r="K28">
        <v>8</v>
      </c>
      <c r="L28" s="3">
        <f t="shared" si="9"/>
        <v>1.5999999999999999E-6</v>
      </c>
      <c r="N28" s="4">
        <v>20</v>
      </c>
      <c r="O28" s="3">
        <v>1.9999999999999999E-7</v>
      </c>
      <c r="P28" s="4">
        <v>2</v>
      </c>
      <c r="Q28" s="3">
        <v>3.9999999999999998E-7</v>
      </c>
      <c r="R28" s="3">
        <f t="shared" si="0"/>
        <v>3.9999999999999996E-5</v>
      </c>
      <c r="S28" s="4">
        <f t="shared" si="1"/>
        <v>200</v>
      </c>
      <c r="T28" s="3">
        <f t="shared" si="2"/>
        <v>1.4399999999999999E-3</v>
      </c>
      <c r="U28">
        <f t="shared" si="3"/>
        <v>694.44444444444446</v>
      </c>
      <c r="V28" s="9">
        <f t="shared" si="4"/>
        <v>41666.666666666664</v>
      </c>
      <c r="W28">
        <f t="shared" si="5"/>
        <v>63.579257902901766</v>
      </c>
      <c r="X28">
        <f t="shared" si="6"/>
        <v>2.6213999999999998E-2</v>
      </c>
      <c r="Y28">
        <f t="shared" si="7"/>
        <v>0.94370399999999988</v>
      </c>
      <c r="Z28">
        <f t="shared" si="8"/>
        <v>1.0596542983816961</v>
      </c>
    </row>
    <row r="29" spans="9:26" x14ac:dyDescent="0.25">
      <c r="I29">
        <v>20</v>
      </c>
      <c r="J29" s="1">
        <f>4/(I29*(10^6))</f>
        <v>1.9999999999999999E-7</v>
      </c>
      <c r="K29">
        <v>4</v>
      </c>
      <c r="L29" s="3">
        <f t="shared" si="9"/>
        <v>7.9999999999999996E-7</v>
      </c>
      <c r="N29" s="4">
        <v>12</v>
      </c>
      <c r="O29" s="3">
        <v>3.3333333333333335E-7</v>
      </c>
      <c r="P29" s="4">
        <v>1</v>
      </c>
      <c r="Q29" s="3">
        <v>3.3333333333333335E-7</v>
      </c>
      <c r="R29" s="3">
        <f t="shared" si="0"/>
        <v>3.3333333333333335E-5</v>
      </c>
      <c r="S29" s="4">
        <f t="shared" si="1"/>
        <v>100</v>
      </c>
      <c r="T29" s="3">
        <f t="shared" si="2"/>
        <v>1.2000000000000001E-3</v>
      </c>
      <c r="U29">
        <f t="shared" si="3"/>
        <v>833.33333333333326</v>
      </c>
      <c r="V29" s="9">
        <f t="shared" si="4"/>
        <v>49999.999999999993</v>
      </c>
      <c r="W29">
        <f t="shared" si="5"/>
        <v>76.295109483482108</v>
      </c>
      <c r="X29">
        <f t="shared" si="6"/>
        <v>2.1845E-2</v>
      </c>
      <c r="Y29">
        <f t="shared" si="7"/>
        <v>0.78642000000000001</v>
      </c>
      <c r="Z29">
        <f t="shared" si="8"/>
        <v>1.2715851580580351</v>
      </c>
    </row>
    <row r="30" spans="9:26" x14ac:dyDescent="0.25">
      <c r="I30">
        <v>20</v>
      </c>
      <c r="J30" s="1">
        <f>4/(I30*(10^6))</f>
        <v>1.9999999999999999E-7</v>
      </c>
      <c r="K30">
        <v>2</v>
      </c>
      <c r="L30" s="3">
        <f t="shared" si="9"/>
        <v>3.9999999999999998E-7</v>
      </c>
      <c r="N30" s="4">
        <v>16</v>
      </c>
      <c r="O30" s="3">
        <v>2.4999999999999999E-7</v>
      </c>
      <c r="P30" s="4">
        <v>1</v>
      </c>
      <c r="Q30" s="3">
        <v>2.4999999999999999E-7</v>
      </c>
      <c r="R30" s="3">
        <f t="shared" si="0"/>
        <v>2.4999999999999998E-5</v>
      </c>
      <c r="S30" s="4">
        <f t="shared" si="1"/>
        <v>100</v>
      </c>
      <c r="T30" s="3">
        <f t="shared" si="2"/>
        <v>8.9999999999999998E-4</v>
      </c>
      <c r="U30">
        <f t="shared" si="3"/>
        <v>1111.1111111111111</v>
      </c>
      <c r="V30" s="9">
        <f t="shared" si="4"/>
        <v>66666.666666666672</v>
      </c>
      <c r="W30">
        <f t="shared" si="5"/>
        <v>101.72681264464282</v>
      </c>
      <c r="X30">
        <f t="shared" si="6"/>
        <v>1.6383749999999999E-2</v>
      </c>
      <c r="Y30">
        <f t="shared" si="7"/>
        <v>0.58981499999999998</v>
      </c>
      <c r="Z30">
        <f t="shared" si="8"/>
        <v>1.6954468774107136</v>
      </c>
    </row>
    <row r="31" spans="9:26" x14ac:dyDescent="0.25">
      <c r="I31">
        <v>20</v>
      </c>
      <c r="J31" s="1">
        <f>4/(I31*(10^6))</f>
        <v>1.9999999999999999E-7</v>
      </c>
      <c r="K31">
        <v>1</v>
      </c>
      <c r="L31" s="3">
        <f t="shared" si="9"/>
        <v>1.9999999999999999E-7</v>
      </c>
      <c r="N31" s="4">
        <v>20</v>
      </c>
      <c r="O31" s="3">
        <v>1.9999999999999999E-7</v>
      </c>
      <c r="P31" s="4">
        <v>1</v>
      </c>
      <c r="Q31" s="3">
        <v>1.9999999999999999E-7</v>
      </c>
      <c r="R31" s="3">
        <f t="shared" si="0"/>
        <v>1.9999999999999998E-5</v>
      </c>
      <c r="S31" s="4">
        <f>R31/O31</f>
        <v>100</v>
      </c>
      <c r="T31" s="3">
        <f t="shared" si="2"/>
        <v>7.1999999999999994E-4</v>
      </c>
      <c r="U31">
        <f t="shared" si="3"/>
        <v>1388.8888888888889</v>
      </c>
      <c r="V31" s="9">
        <f t="shared" si="4"/>
        <v>83333.333333333328</v>
      </c>
      <c r="W31">
        <f t="shared" si="5"/>
        <v>127.15851580580353</v>
      </c>
      <c r="X31">
        <f t="shared" si="6"/>
        <v>1.3106999999999999E-2</v>
      </c>
      <c r="Y31">
        <f t="shared" si="7"/>
        <v>0.47185199999999994</v>
      </c>
      <c r="Z31">
        <f t="shared" si="8"/>
        <v>2.1193085967633922</v>
      </c>
    </row>
    <row r="36" spans="9:15" ht="45" x14ac:dyDescent="0.25">
      <c r="I36" cm="1">
        <f t="array" ref="I36:O61">_xlfn.CHOOSECOLS(N6:Z31,1,3,5,6,7,9,10)</f>
        <v>0</v>
      </c>
      <c r="J36">
        <v>0</v>
      </c>
      <c r="K36" s="6" t="str">
        <v>Duración mínima de tiempo límite entre flanco y flanco [s] Número de tiks miímos:</v>
      </c>
      <c r="L36">
        <v>0</v>
      </c>
      <c r="M36" s="6" t="str">
        <v>Una revolución la da en el equivalente a 36 FLANCOS</v>
      </c>
      <c r="N36" s="4">
        <v>0</v>
      </c>
      <c r="O36" s="3">
        <v>0</v>
      </c>
    </row>
    <row r="37" spans="9:15" x14ac:dyDescent="0.25">
      <c r="I37" t="str">
        <v>Frecuencia oscilador [Mhz]</v>
      </c>
      <c r="J37" t="str">
        <v>Prescaler value</v>
      </c>
      <c r="K37">
        <v>100</v>
      </c>
      <c r="L37" t="str">
        <v>Número de ciclos máquina entre flanco y flanco</v>
      </c>
      <c r="M37" t="str">
        <v>t/rev [t]</v>
      </c>
      <c r="N37" s="4" t="str">
        <v>RPM Máximas</v>
      </c>
      <c r="O37" s="3" t="str">
        <v>RPM MÍNIMAS</v>
      </c>
    </row>
    <row r="38" spans="9:15" x14ac:dyDescent="0.25">
      <c r="I38">
        <v>4</v>
      </c>
      <c r="J38">
        <v>8</v>
      </c>
      <c r="K38">
        <v>7.9999999999999993E-4</v>
      </c>
      <c r="L38">
        <v>800</v>
      </c>
      <c r="M38">
        <v>2.8799999999999999E-2</v>
      </c>
      <c r="N38" s="4">
        <v>2083.3333333333335</v>
      </c>
      <c r="O38" s="3">
        <v>3.1789628951450881</v>
      </c>
    </row>
    <row r="39" spans="9:15" x14ac:dyDescent="0.25">
      <c r="I39">
        <v>6</v>
      </c>
      <c r="J39">
        <v>8</v>
      </c>
      <c r="K39">
        <v>5.3333333333333336E-4</v>
      </c>
      <c r="L39">
        <v>800</v>
      </c>
      <c r="M39">
        <v>1.9200000000000002E-2</v>
      </c>
      <c r="N39" s="4">
        <v>3124.9999999999995</v>
      </c>
      <c r="O39" s="3">
        <v>4.7684443427176317</v>
      </c>
    </row>
    <row r="40" spans="9:15" x14ac:dyDescent="0.25">
      <c r="I40">
        <v>4</v>
      </c>
      <c r="J40">
        <v>4</v>
      </c>
      <c r="K40">
        <v>3.9999999999999996E-4</v>
      </c>
      <c r="L40">
        <v>400</v>
      </c>
      <c r="M40">
        <v>1.44E-2</v>
      </c>
      <c r="N40" s="4">
        <v>4166.666666666667</v>
      </c>
      <c r="O40" s="3">
        <v>6.3579257902901762</v>
      </c>
    </row>
    <row r="41" spans="9:15" x14ac:dyDescent="0.25">
      <c r="I41">
        <v>8</v>
      </c>
      <c r="J41">
        <v>8</v>
      </c>
      <c r="K41">
        <v>3.9999999999999996E-4</v>
      </c>
      <c r="L41">
        <v>800</v>
      </c>
      <c r="M41">
        <v>1.44E-2</v>
      </c>
      <c r="N41" s="4">
        <v>4166.666666666667</v>
      </c>
      <c r="O41" s="3">
        <v>6.3579257902901762</v>
      </c>
    </row>
    <row r="42" spans="9:15" x14ac:dyDescent="0.25">
      <c r="I42">
        <v>6</v>
      </c>
      <c r="J42">
        <v>4</v>
      </c>
      <c r="K42">
        <v>2.6666666666666668E-4</v>
      </c>
      <c r="L42">
        <v>400</v>
      </c>
      <c r="M42">
        <v>9.6000000000000009E-3</v>
      </c>
      <c r="N42" s="4">
        <v>6249.9999999999991</v>
      </c>
      <c r="O42" s="3">
        <v>9.5368886854352635</v>
      </c>
    </row>
    <row r="43" spans="9:15" x14ac:dyDescent="0.25">
      <c r="I43">
        <v>12</v>
      </c>
      <c r="J43">
        <v>8</v>
      </c>
      <c r="K43">
        <v>2.6666666666666668E-4</v>
      </c>
      <c r="L43">
        <v>800</v>
      </c>
      <c r="M43">
        <v>9.6000000000000009E-3</v>
      </c>
      <c r="N43" s="4">
        <v>6249.9999999999991</v>
      </c>
      <c r="O43" s="3">
        <v>9.5368886854352635</v>
      </c>
    </row>
    <row r="44" spans="9:15" x14ac:dyDescent="0.25">
      <c r="I44">
        <v>4</v>
      </c>
      <c r="J44">
        <v>2</v>
      </c>
      <c r="K44">
        <v>1.9999999999999998E-4</v>
      </c>
      <c r="L44">
        <v>200</v>
      </c>
      <c r="M44">
        <v>7.1999999999999998E-3</v>
      </c>
      <c r="N44" s="4">
        <v>8333.3333333333339</v>
      </c>
      <c r="O44" s="3">
        <v>12.715851580580352</v>
      </c>
    </row>
    <row r="45" spans="9:15" x14ac:dyDescent="0.25">
      <c r="I45">
        <v>8</v>
      </c>
      <c r="J45">
        <v>4</v>
      </c>
      <c r="K45">
        <v>1.9999999999999998E-4</v>
      </c>
      <c r="L45">
        <v>400</v>
      </c>
      <c r="M45">
        <v>7.1999999999999998E-3</v>
      </c>
      <c r="N45" s="4">
        <v>8333.3333333333339</v>
      </c>
      <c r="O45" s="3">
        <v>12.715851580580352</v>
      </c>
    </row>
    <row r="46" spans="9:15" x14ac:dyDescent="0.25">
      <c r="I46">
        <v>16</v>
      </c>
      <c r="J46">
        <v>8</v>
      </c>
      <c r="K46">
        <v>1.9999999999999998E-4</v>
      </c>
      <c r="L46">
        <v>800</v>
      </c>
      <c r="M46">
        <v>7.1999999999999998E-3</v>
      </c>
      <c r="N46" s="4">
        <v>8333.3333333333339</v>
      </c>
      <c r="O46" s="3">
        <v>12.715851580580352</v>
      </c>
    </row>
    <row r="47" spans="9:15" x14ac:dyDescent="0.25">
      <c r="I47">
        <v>20</v>
      </c>
      <c r="J47">
        <v>8</v>
      </c>
      <c r="K47">
        <v>1.5999999999999999E-4</v>
      </c>
      <c r="L47">
        <v>800</v>
      </c>
      <c r="M47">
        <v>5.7599999999999995E-3</v>
      </c>
      <c r="N47" s="4">
        <v>10416.666666666666</v>
      </c>
      <c r="O47" s="3">
        <v>15.894814475725441</v>
      </c>
    </row>
    <row r="48" spans="9:15" x14ac:dyDescent="0.25">
      <c r="I48">
        <v>6</v>
      </c>
      <c r="J48">
        <v>2</v>
      </c>
      <c r="K48">
        <v>1.3333333333333334E-4</v>
      </c>
      <c r="L48">
        <v>200</v>
      </c>
      <c r="M48">
        <v>4.8000000000000004E-3</v>
      </c>
      <c r="N48" s="4">
        <v>12499.999999999998</v>
      </c>
      <c r="O48" s="3">
        <v>19.073777370870527</v>
      </c>
    </row>
    <row r="49" spans="9:15" x14ac:dyDescent="0.25">
      <c r="I49">
        <v>12</v>
      </c>
      <c r="J49">
        <v>4</v>
      </c>
      <c r="K49">
        <v>1.3333333333333334E-4</v>
      </c>
      <c r="L49">
        <v>400</v>
      </c>
      <c r="M49">
        <v>4.8000000000000004E-3</v>
      </c>
      <c r="N49" s="4">
        <v>12499.999999999998</v>
      </c>
      <c r="O49" s="3">
        <v>19.073777370870527</v>
      </c>
    </row>
    <row r="50" spans="9:15" x14ac:dyDescent="0.25">
      <c r="I50" s="13">
        <v>4</v>
      </c>
      <c r="J50" s="13">
        <v>1</v>
      </c>
      <c r="K50" s="13">
        <v>9.9999999999999991E-5</v>
      </c>
      <c r="L50" s="13">
        <v>100</v>
      </c>
      <c r="M50" s="13">
        <v>3.5999999999999999E-3</v>
      </c>
      <c r="N50" s="14">
        <v>16666.666666666668</v>
      </c>
      <c r="O50" s="3">
        <v>25.431703161160705</v>
      </c>
    </row>
    <row r="51" spans="9:15" x14ac:dyDescent="0.25">
      <c r="I51">
        <v>8</v>
      </c>
      <c r="J51">
        <v>2</v>
      </c>
      <c r="K51">
        <v>9.9999999999999991E-5</v>
      </c>
      <c r="L51">
        <v>200</v>
      </c>
      <c r="M51">
        <v>3.5999999999999999E-3</v>
      </c>
      <c r="N51" s="4">
        <v>16666.666666666668</v>
      </c>
      <c r="O51" s="3">
        <v>25.431703161160705</v>
      </c>
    </row>
    <row r="52" spans="9:15" x14ac:dyDescent="0.25">
      <c r="I52">
        <v>16</v>
      </c>
      <c r="J52">
        <v>4</v>
      </c>
      <c r="K52">
        <v>9.9999999999999991E-5</v>
      </c>
      <c r="L52">
        <v>400</v>
      </c>
      <c r="M52">
        <v>3.5999999999999999E-3</v>
      </c>
      <c r="N52" s="4">
        <v>16666.666666666668</v>
      </c>
      <c r="O52" s="3">
        <v>25.431703161160705</v>
      </c>
    </row>
    <row r="53" spans="9:15" x14ac:dyDescent="0.25">
      <c r="I53">
        <v>20</v>
      </c>
      <c r="J53">
        <v>4</v>
      </c>
      <c r="K53">
        <v>7.9999999999999993E-5</v>
      </c>
      <c r="L53">
        <v>400</v>
      </c>
      <c r="M53">
        <v>2.8799999999999997E-3</v>
      </c>
      <c r="N53" s="4">
        <v>20833.333333333332</v>
      </c>
      <c r="O53" s="3">
        <v>31.789628951450883</v>
      </c>
    </row>
    <row r="54" spans="9:15" x14ac:dyDescent="0.25">
      <c r="I54">
        <v>6</v>
      </c>
      <c r="J54">
        <v>1</v>
      </c>
      <c r="K54">
        <v>6.666666666666667E-5</v>
      </c>
      <c r="L54">
        <v>100</v>
      </c>
      <c r="M54">
        <v>2.4000000000000002E-3</v>
      </c>
      <c r="N54" s="4">
        <v>24999.999999999996</v>
      </c>
      <c r="O54" s="3">
        <v>38.147554741741054</v>
      </c>
    </row>
    <row r="55" spans="9:15" x14ac:dyDescent="0.25">
      <c r="I55">
        <v>12</v>
      </c>
      <c r="J55">
        <v>2</v>
      </c>
      <c r="K55">
        <v>6.666666666666667E-5</v>
      </c>
      <c r="L55">
        <v>200</v>
      </c>
      <c r="M55">
        <v>2.4000000000000002E-3</v>
      </c>
      <c r="N55" s="4">
        <v>24999.999999999996</v>
      </c>
      <c r="O55" s="3">
        <v>38.147554741741054</v>
      </c>
    </row>
    <row r="56" spans="9:15" x14ac:dyDescent="0.25">
      <c r="I56">
        <v>8</v>
      </c>
      <c r="J56">
        <v>1</v>
      </c>
      <c r="K56">
        <v>4.9999999999999996E-5</v>
      </c>
      <c r="L56">
        <v>100</v>
      </c>
      <c r="M56">
        <v>1.8E-3</v>
      </c>
      <c r="N56" s="4">
        <v>33333.333333333336</v>
      </c>
      <c r="O56" s="3">
        <v>50.86340632232141</v>
      </c>
    </row>
    <row r="57" spans="9:15" x14ac:dyDescent="0.25">
      <c r="I57">
        <v>16</v>
      </c>
      <c r="J57">
        <v>2</v>
      </c>
      <c r="K57">
        <v>4.9999999999999996E-5</v>
      </c>
      <c r="L57">
        <v>200</v>
      </c>
      <c r="M57">
        <v>1.8E-3</v>
      </c>
      <c r="N57" s="4">
        <v>33333.333333333336</v>
      </c>
      <c r="O57" s="3">
        <v>50.86340632232141</v>
      </c>
    </row>
    <row r="58" spans="9:15" x14ac:dyDescent="0.25">
      <c r="I58">
        <v>20</v>
      </c>
      <c r="J58">
        <v>2</v>
      </c>
      <c r="K58">
        <v>3.9999999999999996E-5</v>
      </c>
      <c r="L58">
        <v>200</v>
      </c>
      <c r="M58">
        <v>1.4399999999999999E-3</v>
      </c>
      <c r="N58" s="4">
        <v>41666.666666666664</v>
      </c>
      <c r="O58" s="3">
        <v>63.579257902901766</v>
      </c>
    </row>
    <row r="59" spans="9:15" x14ac:dyDescent="0.25">
      <c r="I59">
        <v>12</v>
      </c>
      <c r="J59">
        <v>1</v>
      </c>
      <c r="K59">
        <v>3.3333333333333335E-5</v>
      </c>
      <c r="L59">
        <v>100</v>
      </c>
      <c r="M59">
        <v>1.2000000000000001E-3</v>
      </c>
      <c r="N59" s="4">
        <v>49999.999999999993</v>
      </c>
      <c r="O59" s="3">
        <v>76.295109483482108</v>
      </c>
    </row>
    <row r="60" spans="9:15" x14ac:dyDescent="0.25">
      <c r="I60">
        <v>16</v>
      </c>
      <c r="J60">
        <v>1</v>
      </c>
      <c r="K60">
        <v>2.4999999999999998E-5</v>
      </c>
      <c r="L60">
        <v>100</v>
      </c>
      <c r="M60">
        <v>8.9999999999999998E-4</v>
      </c>
      <c r="N60" s="4">
        <v>66666.666666666672</v>
      </c>
      <c r="O60" s="3">
        <v>101.72681264464282</v>
      </c>
    </row>
    <row r="61" spans="9:15" x14ac:dyDescent="0.25">
      <c r="I61">
        <v>20</v>
      </c>
      <c r="J61">
        <v>1</v>
      </c>
      <c r="K61">
        <v>1.9999999999999998E-5</v>
      </c>
      <c r="L61">
        <v>100</v>
      </c>
      <c r="M61">
        <v>7.1999999999999994E-4</v>
      </c>
      <c r="N61" s="4">
        <v>83333.333333333328</v>
      </c>
      <c r="O61" s="3">
        <v>127.15851580580353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David Arreguin Hernandez</dc:creator>
  <cp:lastModifiedBy>julio david arreguin hernandez</cp:lastModifiedBy>
  <dcterms:created xsi:type="dcterms:W3CDTF">2026-06-11T21:56:20Z</dcterms:created>
  <dcterms:modified xsi:type="dcterms:W3CDTF">2026-06-12T00:23:05Z</dcterms:modified>
</cp:coreProperties>
</file>